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033f7df15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" sheetId="1" r:id="R3416be3bc842479a"/>
  </x:sheets>
  <x:definedNames>
    <x:definedName name="_xlnm.Print_Area" localSheetId="0">'Presupuesto'!$A$1:$F$35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 #,##0.00"/>
    <x:numFmt numFmtId="201" formatCode="0"/>
    <x:numFmt numFmtId="202" formatCode="0%"/>
  </x:numFmts>
  <x:fonts count="17">
    <x:font>
      <x:sz val="11"/>
      <x:name val="Carlito"/>
    </x:font>
    <x:font>
      <x:sz val="10"/>
      <x:color rgb="FF24323D"/>
      <x:name val="Aptos"/>
    </x:font>
    <x:font>
      <x:b/>
      <x:sz val="16"/>
      <x:color rgb="FF176B63"/>
      <x:name val="Aptos Display"/>
    </x:font>
    <x:font>
      <x:b/>
      <x:sz val="16"/>
      <x:color rgb="FFFFFFFF"/>
      <x:name val="Aptos Display"/>
    </x:font>
    <x:font>
      <x:sz val="9"/>
      <x:color rgb="FF566772"/>
      <x:name val="Aptos"/>
    </x:font>
    <x:font>
      <x:b/>
      <x:sz val="10"/>
      <x:color rgb="FF176B63"/>
      <x:name val="Aptos"/>
    </x:font>
    <x:font>
      <x:b/>
      <x:sz val="10"/>
      <x:color rgb="FF53636C"/>
      <x:name val="Aptos"/>
    </x:font>
    <x:font>
      <x:b/>
      <x:sz val="10"/>
      <x:color rgb="FFFFFFFF"/>
      <x:name val="Aptos"/>
    </x:font>
    <x:font>
      <x:b/>
      <x:sz val="9"/>
      <x:color rgb="FF24323D"/>
      <x:name val="Aptos"/>
    </x:font>
    <x:font>
      <x:sz val="9"/>
      <x:color rgb="FF24323D"/>
      <x:name val="Aptos"/>
    </x:font>
    <x:font>
      <x:b/>
      <x:sz val="9"/>
      <x:color rgb="FFFFFFFF"/>
      <x:name val="Aptos"/>
    </x:font>
    <x:font>
      <x:b/>
      <x:sz val="12"/>
      <x:color rgb="FFFFFFFF"/>
      <x:name val="Aptos Display"/>
    </x:font>
    <x:font>
      <x:b/>
      <x:sz val="13"/>
      <x:color rgb="FF176B63"/>
      <x:name val="Aptos Display"/>
    </x:font>
    <x:font>
      <x:sz val="8.5"/>
      <x:color rgb="FF566772"/>
      <x:name val="Aptos"/>
    </x:font>
    <x:font>
      <x:b/>
      <x:sz val="9"/>
      <x:color rgb="FF176B63"/>
      <x:name val="Aptos"/>
    </x:font>
    <x:font>
      <x:b/>
      <x:sz val="9"/>
      <x:color rgb="FF53636C"/>
      <x:name val="Aptos"/>
    </x:font>
    <x:font>
      <x:b/>
      <x:sz val="8"/>
      <x:color rgb="FF53636C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176B63"/>
      </x:patternFill>
    </x:fill>
    <x:fill>
      <x:patternFill patternType="solid">
        <x:fgColor rgb="FFF1F6F5"/>
      </x:patternFill>
    </x:fill>
    <x:fill>
      <x:patternFill patternType="solid">
        <x:fgColor rgb="FFE5F0EE"/>
      </x:patternFill>
    </x:fill>
    <x:fill>
      <x:patternFill patternType="solid">
        <x:fgColor rgb="FFFBFCFC"/>
      </x:patternFill>
    </x:fill>
    <x:fill>
      <x:patternFill patternType="solid">
        <x:fgColor rgb="FFFFFFFF"/>
      </x:patternFill>
    </x:fill>
    <x:fill>
      <x:patternFill patternType="solid">
        <x:fgColor rgb="FFF7FAF9"/>
      </x:patternFill>
    </x:fill>
    <x:fill>
      <x:patternFill patternType="solid">
        <x:fgColor rgb="FFFFF6DF"/>
      </x:patternFill>
    </x:fill>
    <x:fill>
      <x:patternFill patternType="solid">
        <x:fgColor rgb="FFF1F6F5"/>
      </x:patternFill>
    </x:fill>
    <x:fill>
      <x:patternFill patternType="solid">
        <x:fgColor rgb="FFE5F0EE"/>
      </x:patternFill>
    </x:fill>
    <x:fill>
      <x:patternFill patternType="solid">
        <x:fgColor rgb="FFFBFCFC"/>
      </x:patternFill>
    </x:fill>
    <x:fill>
      <x:patternFill patternType="solid">
        <x:fgColor rgb="FF176B63"/>
      </x:patternFill>
    </x:fill>
    <x:fill>
      <x:patternFill patternType="solid">
        <x:fgColor rgb="FFFFFFFF"/>
      </x:patternFill>
    </x:fill>
    <x:fill>
      <x:patternFill patternType="solid">
        <x:fgColor rgb="FFF7FAF9"/>
      </x:patternFill>
    </x:fill>
    <x:fill>
      <x:patternFill patternType="solid">
        <x:fgColor rgb="FFFFF6DF"/>
      </x:patternFill>
    </x:fill>
    <x:fill>
      <x:patternFill patternType="solid">
        <x:fgColor rgb="FFF1F6F5"/>
      </x:patternFill>
    </x:fill>
    <x:fill>
      <x:patternFill patternType="solid">
        <x:fgColor rgb="FFE5F0EE"/>
      </x:patternFill>
    </x:fill>
    <x:fill>
      <x:patternFill patternType="solid">
        <x:fgColor rgb="FFFBFCFC"/>
      </x:patternFill>
    </x:fill>
    <x:fill>
      <x:patternFill patternType="solid">
        <x:fgColor rgb="FF176B63"/>
      </x:patternFill>
    </x:fill>
    <x:fill>
      <x:patternFill patternType="solid">
        <x:fgColor rgb="FFFFFFFF"/>
      </x:patternFill>
    </x:fill>
    <x:fill>
      <x:patternFill patternType="solid">
        <x:fgColor rgb="FFF7FAF9"/>
      </x:patternFill>
    </x:fill>
    <x:fill>
      <x:patternFill patternType="solid">
        <x:fgColor rgb="FFFFF6DF"/>
      </x:patternFill>
    </x:fill>
  </x:fills>
  <x:borders count="2">
    <x:border>
      <x:left/>
      <x:right/>
      <x:top/>
      <x:bottom/>
      <x:diagonal/>
    </x:border>
    <x:border>
      <x:left style="thin">
        <x:color rgb="FFD5DEDF"/>
      </x:left>
      <x:right style="thin">
        <x:color rgb="FFD5DEDF"/>
      </x:right>
      <x:top style="thin">
        <x:color rgb="FFD5DEDF"/>
      </x:top>
      <x:bottom style="thin">
        <x:color rgb="FFD5DEDF"/>
      </x:bottom>
      <x:diagonal/>
    </x:border>
  </x:borders>
  <x:cellStyleXfs count="1">
    <x:xf numFmtId="0" fontId="0" fillId="0" borderId="0"/>
  </x:cellStyleXfs>
  <x:cellXfs count="1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6" borderId="1" xfId="0" applyNumberFormat="1" applyFont="1" applyFill="1" applyBorder="1"/>
    <x:xf numFmtId="0" fontId="1" fillId="7" borderId="1" xfId="0" applyNumberFormat="1" applyFont="1" applyFill="1" applyBorder="1"/>
    <x:xf numFmtId="0" fontId="6" fillId="0" borderId="1" xfId="0" applyNumberFormat="1" applyFont="1" applyFill="1" applyBorder="1"/>
    <x:xf numFmtId="0" fontId="1" fillId="8" borderId="1" xfId="0" applyNumberFormat="1" applyFont="1" applyFill="1" applyBorder="1"/>
    <x:xf numFmtId="0" fontId="6" fillId="2" borderId="1" xfId="0" applyNumberFormat="1" applyFont="1" applyFill="1" applyBorder="1"/>
    <x:xf numFmtId="0" fontId="1" fillId="2" borderId="1" xfId="0" applyNumberFormat="1" applyFont="1" applyFill="1" applyBorder="1"/>
    <x:xf numFmtId="0" fontId="7" fillId="2" borderId="1" xfId="0" applyNumberFormat="1" applyFont="1" applyFill="1" applyBorder="1"/>
    <x:xf numFmtId="200" fontId="1" fillId="6" borderId="1" xfId="0" applyNumberFormat="1" applyFont="1" applyFill="1" applyBorder="1"/>
    <x:xf numFmtId="200" fontId="1" fillId="7" borderId="1" xfId="0" applyNumberFormat="1" applyFont="1" applyFill="1" applyBorder="1"/>
    <x:xf numFmtId="201" fontId="1" fillId="6" borderId="1" xfId="0" applyNumberFormat="1" applyFont="1" applyFill="1" applyBorder="1"/>
    <x:xf numFmtId="200" fontId="1" fillId="0" borderId="1" xfId="0" applyNumberFormat="1" applyFont="1" applyFill="1" applyBorder="1"/>
    <x:xf numFmtId="202" fontId="1" fillId="8" borderId="1" xfId="0" applyNumberFormat="1" applyFont="1" applyFill="1" applyBorder="1"/>
    <x:xf numFmtId="200" fontId="7" fillId="2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2" fontId="1" fillId="8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200" fontId="7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/>
    </x:xf>
    <x:xf numFmtId="201" fontId="9" fillId="6" borderId="1" xfId="0" applyNumberFormat="1" applyFont="1" applyFill="1" applyBorder="1" applyAlignment="1">
      <x:alignment vertical="center"/>
    </x:xf>
    <x:xf numFmtId="200" fontId="9" fillId="6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202" fontId="9" fillId="8" borderId="1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200" fontId="8" fillId="2" borderId="1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201" fontId="9" fillId="6" borderId="1" xfId="0" applyNumberFormat="1" applyFont="1" applyFill="1" applyBorder="1" applyAlignment="1">
      <x:alignment vertical="center" wrapText="1"/>
    </x:xf>
    <x:xf numFmtId="200" fontId="9" fillId="6" borderId="1" xfId="0" applyNumberFormat="1" applyFont="1" applyFill="1" applyBorder="1" applyAlignment="1">
      <x:alignment vertical="center" wrapText="1"/>
    </x:xf>
    <x:xf numFmtId="200" fontId="9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2" fontId="9" fillId="8" borderId="1" xfId="0" applyNumberFormat="1" applyFont="1" applyFill="1" applyBorder="1" applyAlignment="1">
      <x:alignment vertical="center" wrapText="1"/>
    </x:xf>
    <x:xf numFmtId="200" fontId="8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11" fillId="2" borderId="0" xfId="0" applyNumberFormat="1" applyFont="1" applyFill="1" applyBorder="1" applyAlignment="1">
      <x:alignment wrapText="0"/>
    </x:xf>
    <x:xf numFmtId="200" fontId="10" fillId="2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1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4" fillId="0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1"/>
    </x:xf>
    <x:xf numFmtId="0" fontId="14" fillId="10" borderId="0" xfId="0" applyNumberFormat="1" applyFont="1" applyFill="1" applyBorder="1" applyAlignment="1">
      <x:alignment vertical="center" wrapText="0"/>
    </x:xf>
    <x:xf numFmtId="0" fontId="9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0" fillId="12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13" borderId="1" xfId="0" applyNumberFormat="1" applyFont="1" applyFill="1" applyBorder="1" applyAlignment="1">
      <x:alignment vertical="center" wrapText="1"/>
    </x:xf>
    <x:xf numFmtId="0" fontId="9" fillId="14" borderId="1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vertical="center" wrapText="1"/>
    </x:xf>
    <x:xf numFmtId="0" fontId="9" fillId="15" borderId="1" xfId="0" applyNumberFormat="1" applyFont="1" applyFill="1" applyBorder="1" applyAlignment="1">
      <x:alignment vertical="center" wrapText="1"/>
    </x:xf>
    <x:xf numFmtId="0" fontId="15" fillId="12" borderId="1" xfId="0" applyNumberFormat="1" applyFont="1" applyFill="1" applyBorder="1" applyAlignment="1">
      <x:alignment vertical="center" wrapText="1"/>
    </x:xf>
    <x:xf numFmtId="0" fontId="9" fillId="12" borderId="1" xfId="0" applyNumberFormat="1" applyFont="1" applyFill="1" applyBorder="1" applyAlignment="1">
      <x:alignment vertical="center" wrapText="1"/>
    </x:xf>
    <x:xf numFmtId="0" fontId="14" fillId="0" borderId="1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13" borderId="1" xfId="0" applyNumberFormat="1" applyFont="1" applyFill="1" applyBorder="1" applyAlignment="1">
      <x:alignment horizontal="left" vertical="center" wrapText="1"/>
    </x:xf>
    <x:xf numFmtId="0" fontId="9" fillId="13" borderId="1" xfId="0" applyNumberFormat="1" applyFont="1" applyFill="1" applyBorder="1" applyAlignment="1">
      <x:alignment horizontal="center" vertical="center" wrapText="1"/>
    </x:xf>
    <x:xf numFmtId="201" fontId="9" fillId="13" borderId="1" xfId="0" applyNumberFormat="1" applyFont="1" applyFill="1" applyBorder="1" applyAlignment="1">
      <x:alignment horizontal="center" vertical="center" wrapText="1"/>
    </x:xf>
    <x:xf numFmtId="200" fontId="9" fillId="13" borderId="1" xfId="0" applyNumberFormat="1" applyFont="1" applyFill="1" applyBorder="1" applyAlignment="1">
      <x:alignment vertical="center" wrapText="1"/>
    </x:xf>
    <x:xf numFmtId="200" fontId="9" fillId="14" borderId="1" xfId="0" applyNumberFormat="1" applyFont="1" applyFill="1" applyBorder="1" applyAlignment="1">
      <x:alignment vertical="center" wrapText="1"/>
    </x:xf>
    <x:xf numFmtId="202" fontId="9" fillId="15" borderId="1" xfId="0" applyNumberFormat="1" applyFont="1" applyFill="1" applyBorder="1" applyAlignment="1">
      <x:alignment vertical="center" wrapText="1"/>
    </x:xf>
    <x:xf numFmtId="200" fontId="10" fillId="12" borderId="1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1"/>
    </x:xf>
    <x:xf numFmtId="0" fontId="14" fillId="17" borderId="0" xfId="0" applyNumberFormat="1" applyFont="1" applyFill="1" applyBorder="1" applyAlignment="1">
      <x:alignment vertical="center" wrapText="0"/>
    </x:xf>
    <x:xf numFmtId="0" fontId="9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5" fillId="18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vertical="center" wrapText="1"/>
    </x:xf>
    <x:xf numFmtId="0" fontId="9" fillId="20" borderId="1" xfId="0" applyNumberFormat="1" applyFont="1" applyFill="1" applyBorder="1" applyAlignment="1">
      <x:alignment vertical="center" wrapText="1"/>
    </x:xf>
    <x:xf numFmtId="0" fontId="9" fillId="21" borderId="1" xfId="0" applyNumberFormat="1" applyFont="1" applyFill="1" applyBorder="1" applyAlignment="1">
      <x:alignment vertical="center" wrapText="1"/>
    </x:xf>
    <x:xf numFmtId="0" fontId="9" fillId="22" borderId="1" xfId="0" applyNumberFormat="1" applyFont="1" applyFill="1" applyBorder="1" applyAlignment="1">
      <x:alignment vertical="center" wrapText="1"/>
    </x:xf>
    <x:xf numFmtId="0" fontId="15" fillId="19" borderId="1" xfId="0" applyNumberFormat="1" applyFont="1" applyFill="1" applyBorder="1" applyAlignment="1">
      <x:alignment vertical="center" wrapText="1"/>
    </x:xf>
    <x:xf numFmtId="0" fontId="9" fillId="19" borderId="1" xfId="0" applyNumberFormat="1" applyFont="1" applyFill="1" applyBorder="1" applyAlignment="1">
      <x:alignment vertical="center" wrapText="1"/>
    </x:xf>
    <x:xf numFmtId="0" fontId="9" fillId="16" borderId="1" xfId="0" applyNumberFormat="1" applyFont="1" applyFill="1" applyBorder="1" applyAlignment="1">
      <x:alignment vertical="center" wrapText="1"/>
    </x:xf>
    <x:xf numFmtId="0" fontId="9" fillId="20" borderId="1" xfId="0" applyNumberFormat="1" applyFont="1" applyFill="1" applyBorder="1" applyAlignment="1">
      <x:alignment horizontal="left" vertical="center" wrapText="1"/>
    </x:xf>
    <x:xf numFmtId="0" fontId="9" fillId="20" borderId="1" xfId="0" applyNumberFormat="1" applyFont="1" applyFill="1" applyBorder="1" applyAlignment="1">
      <x:alignment horizontal="center" vertical="center" wrapText="1"/>
    </x:xf>
    <x:xf numFmtId="201" fontId="9" fillId="20" borderId="1" xfId="0" applyNumberFormat="1" applyFont="1" applyFill="1" applyBorder="1" applyAlignment="1">
      <x:alignment horizontal="center" vertical="center" wrapText="1"/>
    </x:xf>
    <x:xf numFmtId="200" fontId="9" fillId="20" borderId="1" xfId="0" applyNumberFormat="1" applyFont="1" applyFill="1" applyBorder="1" applyAlignment="1">
      <x:alignment vertical="center" wrapText="1"/>
    </x:xf>
    <x:xf numFmtId="200" fontId="9" fillId="21" borderId="1" xfId="0" applyNumberFormat="1" applyFont="1" applyFill="1" applyBorder="1" applyAlignment="1">
      <x:alignment vertical="center" wrapText="1"/>
    </x:xf>
    <x:xf numFmtId="202" fontId="9" fillId="22" borderId="1" xfId="0" applyNumberFormat="1" applyFont="1" applyFill="1" applyBorder="1" applyAlignment="1">
      <x:alignment vertical="center" wrapText="1"/>
    </x:xf>
    <x:xf numFmtId="200" fontId="10" fillId="19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9058704694672" /><Relationship Type="http://schemas.openxmlformats.org/officeDocument/2006/relationships/theme" Target="/xl/theme/theme1.xml" Id="R2148e1d7afc94785" /><Relationship Type="http://schemas.openxmlformats.org/officeDocument/2006/relationships/sharedStrings" Target="/xl/sharedStrings.xml" Id="R89ce0808750e40c8" /><Relationship Type="http://schemas.openxmlformats.org/officeDocument/2006/relationships/worksheet" Target="/xl/worksheets/sheet1.xml" Id="R3416be3bc84247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6c32c507a934d4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238375" cy="1676400"/>
    <xdr:pic>
      <xdr:nvPicPr>
        <xdr:cNvPr id="1" name="d4d339b3-7094-4960-9de2-86d88d56b7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32c507a93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e21ae02d7a4aad" /></Relationships>
</file>

<file path=xl/worksheets/sheet1.xml><?xml version="1.0" encoding="utf-8"?>
<x:worksheet xmlns:x="http://schemas.openxmlformats.org/spreadsheetml/2006/main">
  <x:sheetPr>
    <x:tabColor rgb="FF176B63"/>
    <x:pageSetUpPr fitToPage="1" autoPageBreaks="0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4" hidden="0" customWidth="1"/>
    <x:col min="4" max="4" width="9" hidden="0" customWidth="1"/>
    <x:col min="5" max="5" width="18" hidden="0" customWidth="1"/>
    <x:col min="6" max="6" width="18" hidden="0" customWidth="1"/>
    <x:col min="7" max="7" width="3" hidden="0" customWidth="1"/>
  </x:cols>
  <x:sheetData>
    <x:row r="1" ht="23" customHeight="1">
      <x:c r="A1" s="56"/>
      <x:c r="B1" s="56"/>
      <x:c r="C1" s="56"/>
      <x:c r="D1" s="86" t="str">
        <x:v>RR REPUESTOS &amp; LUBRICANTES</x:v>
      </x:c>
      <x:c r="E1" s="86"/>
      <x:c r="F1" s="86"/>
      <x:c r="G1"/>
    </x:row>
    <x:row r="2" ht="23" customHeight="1">
      <x:c r="A2" s="56"/>
      <x:c r="B2" s="56"/>
      <x:c r="C2" s="56"/>
      <x:c r="D2" s="87" t="str">
        <x:v>Av. Martín Berho 532</x:v>
      </x:c>
      <x:c r="E2" s="87"/>
      <x:c r="F2" s="87"/>
      <x:c r="G2"/>
    </x:row>
    <x:row r="3" ht="23" customHeight="1">
      <x:c r="A3" s="56"/>
      <x:c r="B3" s="56"/>
      <x:c r="C3" s="56"/>
      <x:c r="D3" s="87" t="str">
        <x:v>San Miguel de Tucumán, Argentina</x:v>
      </x:c>
      <x:c r="E3" s="87"/>
      <x:c r="F3" s="87"/>
      <x:c r="G3"/>
    </x:row>
    <x:row r="4" ht="23" customHeight="1">
      <x:c r="A4" s="56"/>
      <x:c r="B4" s="56"/>
      <x:c r="C4" s="56"/>
      <x:c r="D4" s="87" t="str">
        <x:v>CUIT: 20-33703597-4</x:v>
      </x:c>
      <x:c r="E4" s="87"/>
      <x:c r="F4" s="87"/>
      <x:c r="G4"/>
    </x:row>
    <x:row r="5" ht="23" customHeight="1">
      <x:c r="A5" s="56"/>
      <x:c r="B5" s="56"/>
      <x:c r="C5" s="56"/>
      <x:c r="D5" s="88" t="str">
        <x:v>Teléfono / WhatsApp: 3815853438 - 3816241623</x:v>
      </x:c>
      <x:c r="E5" s="88"/>
      <x:c r="F5" s="88"/>
      <x:c r="G5"/>
    </x:row>
    <x:row r="6" ht="23" customHeight="1">
      <x:c r="A6" s="56"/>
      <x:c r="B6" s="56"/>
      <x:c r="C6" s="56"/>
      <x:c r="D6" s="89" t="str">
        <x:v>fredymolinasouza@hotmail.com</x:v>
      </x:c>
      <x:c r="E6" s="89"/>
      <x:c r="F6" s="89"/>
      <x:c r="G6"/>
    </x:row>
    <x:row r="7" ht="23" customHeight="1">
      <x:c r="A7" s="56"/>
      <x:c r="B7" s="56"/>
      <x:c r="C7" s="56"/>
      <x:c r="D7" s="107" t="str">
        <x:v>N.º</x:v>
      </x:c>
      <x:c r="E7" s="107" t="str">
        <x:v>Presupuesto</x:v>
      </x:c>
      <x:c r="F7" s="132" t="str">
        <x:v>0001-00000001</x:v>
      </x:c>
      <x:c r="G7"/>
    </x:row>
    <x:row r="8" ht="23" customHeight="1">
      <x:c r="A8" s="56"/>
      <x:c r="B8" s="56"/>
      <x:c r="C8" s="56"/>
      <x:c r="D8" s="107" t="str">
        <x:v>Fecha</x:v>
      </x:c>
      <x:c r="E8" s="107"/>
      <x:c r="F8" s="132"/>
      <x:c r="G8"/>
    </x:row>
    <x:row r="9" ht="9" customHeight="1">
      <x:c r="A9" s="56"/>
      <x:c r="B9" s="56"/>
      <x:c r="C9" s="56"/>
      <x:c r="D9" s="56"/>
      <x:c r="E9" s="56"/>
      <x:c r="F9" s="56"/>
      <x:c r="G9"/>
    </x:row>
    <x:row r="10" ht="23" customHeight="1">
      <x:c r="A10" s="120" t="str">
        <x:v>DATOS DEL CLIENTE</x:v>
      </x:c>
      <x:c r="B10" s="120"/>
      <x:c r="C10" s="120"/>
      <x:c r="D10" s="120"/>
      <x:c r="E10" s="120"/>
      <x:c r="F10" s="120"/>
      <x:c r="G10"/>
    </x:row>
    <x:row r="11" ht="23" customHeight="1">
      <x:c r="A11" s="123" t="str">
        <x:v>Razón Social:</x:v>
      </x:c>
      <x:c r="B11" s="121"/>
      <x:c r="C11" s="121"/>
      <x:c r="D11" s="123" t="str">
        <x:v>DNI / CUIT:</x:v>
      </x:c>
      <x:c r="E11" s="121"/>
      <x:c r="F11" s="121"/>
      <x:c r="G11"/>
    </x:row>
    <x:row r="12" ht="23" customHeight="1">
      <x:c r="A12" s="123" t="str">
        <x:v>Teléfono:</x:v>
      </x:c>
      <x:c r="B12" s="121"/>
      <x:c r="C12" s="121"/>
      <x:c r="D12" s="123" t="str">
        <x:v>Email:</x:v>
      </x:c>
      <x:c r="E12" s="121"/>
      <x:c r="F12" s="121"/>
      <x:c r="G12"/>
    </x:row>
    <x:row r="13" ht="23" customHeight="1">
      <x:c r="A13" s="123" t="str">
        <x:v>Domicilio:</x:v>
      </x:c>
      <x:c r="B13" s="121"/>
      <x:c r="C13" s="121"/>
      <x:c r="D13" s="123" t="str">
        <x:v>Localidad:</x:v>
      </x:c>
      <x:c r="E13" s="121"/>
      <x:c r="F13" s="121"/>
      <x:c r="G13"/>
    </x:row>
    <x:row r="14" ht="23" customHeight="1">
      <x:c r="A14" s="123" t="str">
        <x:v>Vehículo:</x:v>
      </x:c>
      <x:c r="B14" s="121"/>
      <x:c r="C14" s="121"/>
      <x:c r="D14" s="122" t="str">
        <x:v>Año / Versión:</x:v>
      </x:c>
      <x:c r="E14" s="121"/>
      <x:c r="F14" s="121"/>
      <x:c r="G14"/>
    </x:row>
    <x:row r="15" ht="10" customHeight="1">
      <x:c r="A15" s="56"/>
      <x:c r="B15" s="56"/>
      <x:c r="C15" s="56"/>
      <x:c r="D15" s="56"/>
      <x:c r="E15" s="56"/>
      <x:c r="F15" s="56"/>
      <x:c r="G15"/>
    </x:row>
    <x:row r="16" ht="23" customHeight="1">
      <x:c r="A16" s="120" t="str">
        <x:v>DETALLE DE REPUESTOS</x:v>
      </x:c>
      <x:c r="B16" s="120"/>
      <x:c r="C16" s="120"/>
      <x:c r="D16" s="120"/>
      <x:c r="E16" s="120"/>
      <x:c r="F16" s="120"/>
      <x:c r="G16"/>
    </x:row>
    <x:row r="17" ht="36" customHeight="1">
      <x:c r="A17" s="126" t="str">
        <x:v>Código</x:v>
      </x:c>
      <x:c r="B17" s="126" t="str">
        <x:v>Descripción del repuesto</x:v>
      </x:c>
      <x:c r="C17" s="126" t="str">
        <x:v>Marca</x:v>
      </x:c>
      <x:c r="D17" s="126" t="str">
        <x:v>Cant.</x:v>
      </x:c>
      <x:c r="E17" s="126" t="str">
        <x:v>Precio unitario (ARS)</x:v>
      </x:c>
      <x:c r="F17" s="126" t="str">
        <x:v>Importe (ARS)</x:v>
      </x:c>
      <x:c r="G17"/>
    </x:row>
    <x:row r="18" ht="22" customHeight="1">
      <x:c r="A18" s="133"/>
      <x:c r="B18" s="127"/>
      <x:c r="C18" s="127"/>
      <x:c r="D18" s="135"/>
      <x:c r="E18" s="136"/>
      <x:c r="F18" s="137" t="str">
        <x:f>IF(OR(D18="",E18=""),"",D18*E18)</x:f>
      </x:c>
      <x:c r="G18"/>
    </x:row>
    <x:row r="19" ht="22" customHeight="1">
      <x:c r="A19" s="133"/>
      <x:c r="B19" s="127"/>
      <x:c r="C19" s="127"/>
      <x:c r="D19" s="135"/>
      <x:c r="E19" s="136"/>
      <x:c r="F19" s="137" t="str">
        <x:f>IF(OR(D19="",E19=""),"",D19*E19)</x:f>
      </x:c>
      <x:c r="G19"/>
    </x:row>
    <x:row r="20" ht="22" customHeight="1">
      <x:c r="A20" s="133"/>
      <x:c r="B20" s="127"/>
      <x:c r="C20" s="127"/>
      <x:c r="D20" s="135"/>
      <x:c r="E20" s="136"/>
      <x:c r="F20" s="137" t="str">
        <x:f>IF(OR(D20="",E20=""),"",D20*E20)</x:f>
      </x:c>
      <x:c r="G20"/>
    </x:row>
    <x:row r="21" ht="22" customHeight="1">
      <x:c r="A21" s="133"/>
      <x:c r="B21" s="127"/>
      <x:c r="C21" s="127"/>
      <x:c r="D21" s="135"/>
      <x:c r="E21" s="136"/>
      <x:c r="F21" s="137" t="str">
        <x:f>IF(OR(D21="",E21=""),"",D21*E21)</x:f>
      </x:c>
      <x:c r="G21"/>
    </x:row>
    <x:row r="22" ht="22" customHeight="1">
      <x:c r="A22" s="133"/>
      <x:c r="B22" s="127"/>
      <x:c r="C22" s="127"/>
      <x:c r="D22" s="135"/>
      <x:c r="E22" s="136"/>
      <x:c r="F22" s="137" t="str">
        <x:f>IF(OR(D22="",E22=""),"",D22*E22)</x:f>
      </x:c>
      <x:c r="G22"/>
    </x:row>
    <x:row r="23" ht="22" customHeight="1">
      <x:c r="A23" s="133"/>
      <x:c r="B23" s="127"/>
      <x:c r="C23" s="127"/>
      <x:c r="D23" s="135"/>
      <x:c r="E23" s="136"/>
      <x:c r="F23" s="137" t="str">
        <x:f>IF(OR(D23="",E23=""),"",D23*E23)</x:f>
      </x:c>
      <x:c r="G23"/>
    </x:row>
    <x:row r="24" ht="22" customHeight="1">
      <x:c r="A24" s="133"/>
      <x:c r="B24" s="127"/>
      <x:c r="C24" s="127"/>
      <x:c r="D24" s="135"/>
      <x:c r="E24" s="136"/>
      <x:c r="F24" s="137" t="str">
        <x:f>IF(OR(D24="",E24=""),"",D24*E24)</x:f>
      </x:c>
      <x:c r="G24"/>
    </x:row>
    <x:row r="25" ht="22" customHeight="1">
      <x:c r="A25" s="133"/>
      <x:c r="B25" s="127"/>
      <x:c r="C25" s="127"/>
      <x:c r="D25" s="135"/>
      <x:c r="E25" s="136"/>
      <x:c r="F25" s="137" t="str">
        <x:f>IF(OR(D25="",E25=""),"",D25*E25)</x:f>
      </x:c>
      <x:c r="G25"/>
    </x:row>
    <x:row r="26" ht="22" customHeight="1">
      <x:c r="A26" s="133"/>
      <x:c r="B26" s="127"/>
      <x:c r="C26" s="127"/>
      <x:c r="D26" s="135"/>
      <x:c r="E26" s="136"/>
      <x:c r="F26" s="137" t="str">
        <x:f>IF(OR(D26="",E26=""),"",D26*E26)</x:f>
      </x:c>
      <x:c r="G26"/>
    </x:row>
    <x:row r="27" ht="22" customHeight="1">
      <x:c r="A27" s="133"/>
      <x:c r="B27" s="127"/>
      <x:c r="C27" s="127"/>
      <x:c r="D27" s="135"/>
      <x:c r="E27" s="136"/>
      <x:c r="F27" s="137" t="str">
        <x:f>IF(OR(D27="",E27=""),"",D27*E27)</x:f>
      </x:c>
      <x:c r="G27"/>
    </x:row>
    <x:row r="28" ht="22" customHeight="1">
      <x:c r="A28" s="133"/>
      <x:c r="B28" s="127"/>
      <x:c r="C28" s="127"/>
      <x:c r="D28" s="135"/>
      <x:c r="E28" s="136"/>
      <x:c r="F28" s="137" t="str">
        <x:f>IF(OR(D28="",E28=""),"",D28*E28)</x:f>
      </x:c>
      <x:c r="G28"/>
    </x:row>
    <x:row r="29" ht="22" customHeight="1">
      <x:c r="A29" s="133"/>
      <x:c r="B29" s="127"/>
      <x:c r="C29" s="127"/>
      <x:c r="D29" s="135"/>
      <x:c r="E29" s="136"/>
      <x:c r="F29" s="137" t="str">
        <x:f>IF(OR(D29="",E29=""),"",D29*E29)</x:f>
      </x:c>
      <x:c r="G29"/>
    </x:row>
    <x:row r="30" ht="22" customHeight="1">
      <x:c r="A30" s="133"/>
      <x:c r="B30" s="127"/>
      <x:c r="C30" s="127"/>
      <x:c r="D30" s="135"/>
      <x:c r="E30" s="136"/>
      <x:c r="F30" s="137" t="str">
        <x:f>IF(OR(D30="",E30=""),"",D30*E30)</x:f>
      </x:c>
      <x:c r="G30"/>
    </x:row>
    <x:row r="31" ht="10" customHeight="1">
      <x:c r="A31" s="56"/>
      <x:c r="B31" s="56"/>
      <x:c r="C31" s="56"/>
      <x:c r="D31" s="56"/>
      <x:c r="E31" s="56"/>
      <x:c r="F31" s="56"/>
      <x:c r="G31"/>
    </x:row>
    <x:row r="32" ht="24" customHeight="1">
      <x:c r="A32" s="123" t="str">
        <x:v>Validez de la oferta:</x:v>
      </x:c>
      <x:c r="B32" s="121"/>
      <x:c r="C32" s="123" t="str">
        <x:v>Disponibilidad:</x:v>
      </x:c>
      <x:c r="D32" s="121"/>
      <x:c r="E32" s="103" t="str">
        <x:v>Subtotal (ARS)</x:v>
      </x:c>
      <x:c r="F32" s="77" t="str">
        <x:f>IF(COUNT(F18:F30)=0,"",SUM(F18:F30))</x:f>
      </x:c>
      <x:c r="G32"/>
    </x:row>
    <x:row r="33" ht="24" customHeight="1">
      <x:c r="A33" s="123" t="str">
        <x:v>Forma de pago:</x:v>
      </x:c>
      <x:c r="B33" s="121"/>
      <x:c r="C33" s="123" t="str">
        <x:v>Entrega:</x:v>
      </x:c>
      <x:c r="D33" s="121"/>
      <x:c r="E33" s="103" t="str">
        <x:v>Alícuota IVA</x:v>
      </x:c>
      <x:c r="F33" s="138"/>
      <x:c r="G33"/>
    </x:row>
    <x:row r="34" ht="24" customHeight="1">
      <x:c r="A34" s="123" t="str">
        <x:v>Observaciones:</x:v>
      </x:c>
      <x:c r="B34" s="121"/>
      <x:c r="C34" s="121"/>
      <x:c r="D34" s="121"/>
      <x:c r="E34" s="103" t="str">
        <x:v>IVA (ARS)</x:v>
      </x:c>
      <x:c r="F34" s="77" t="str">
        <x:f>IF(F32="","",F32*F33)</x:f>
      </x:c>
      <x:c r="G34"/>
    </x:row>
    <x:row r="35" ht="24" customHeight="1">
      <x:c r="A35" s="56"/>
      <x:c r="B35" s="56"/>
      <x:c r="C35" s="56"/>
      <x:c r="D35" s="56"/>
      <x:c r="E35" s="126" t="str">
        <x:v>TOTAL (ARS)</x:v>
      </x:c>
      <x:c r="F35" s="139" t="str">
        <x:f>IF(F32="","",F32+F34)</x:f>
      </x:c>
      <x:c r="G35"/>
    </x:row>
    <x:row r="36" ht="19" customHeight="1">
      <x:c r="A36"/>
      <x:c r="B36"/>
      <x:c r="C36"/>
      <x:c r="D36"/>
      <x:c r="E36"/>
      <x:c r="F36"/>
      <x:c r="G36"/>
    </x:row>
    <x:row r="37" ht="19" customHeight="1"/>
    <x:row r="38" ht="19" customHeight="1"/>
    <x:row r="39" ht="19" customHeight="1"/>
    <x:row r="40" ht="19" customHeight="1"/>
    <x:row r="41" ht="19" customHeight="1"/>
    <x:row r="42" ht="19" customHeight="1"/>
    <x:row r="43" ht="19" customHeight="1"/>
    <x:row r="44" ht="19" customHeight="1"/>
    <x:row r="45" ht="19" customHeight="1"/>
    <x:row r="46" ht="19" customHeight="1"/>
    <x:row r="47" ht="19" customHeight="1"/>
    <x:row r="48" ht="19" customHeight="1"/>
    <x:row r="49" ht="19" customHeight="1"/>
    <x:row r="50" ht="19" customHeight="1"/>
  </x:sheetData>
  <x:pageMargins left="0.25" right="0.25" top="0.35" bottom="0.35" header="0.15" footer="0.15"/>
  <x:pageSetup paperSize="9" orientation="portrait" fitToWidth="1" fitToHeight="1"/>
  <x:drawing xmlns:r="http://schemas.openxmlformats.org/officeDocument/2006/relationships" r:id="Rdae21ae02d7a4aad"/>
</x:worksheet>
</file>